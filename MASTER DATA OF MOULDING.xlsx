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pabha\Desktop\python_code\moulding_project\"/>
    </mc:Choice>
  </mc:AlternateContent>
  <xr:revisionPtr revIDLastSave="0" documentId="13_ncr:1_{79E0D7C7-B196-4CB1-AD42-0D2B809CC0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FILE 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1" l="1"/>
  <c r="Q9" i="1"/>
  <c r="Q10" i="1"/>
  <c r="Q11" i="1"/>
  <c r="Q12" i="1"/>
  <c r="Q13" i="1"/>
  <c r="Q14" i="1"/>
  <c r="Q15" i="1"/>
  <c r="Q16" i="1"/>
  <c r="Q17" i="1"/>
  <c r="Q18" i="1"/>
  <c r="Q23" i="1"/>
  <c r="Q24" i="1"/>
  <c r="Q25" i="1"/>
  <c r="Q26" i="1"/>
  <c r="Q27" i="1"/>
  <c r="Q28" i="1"/>
  <c r="Q29" i="1"/>
  <c r="Q33" i="1"/>
  <c r="Q34" i="1"/>
  <c r="Q38" i="1"/>
  <c r="Q39" i="1"/>
  <c r="Q40" i="1"/>
  <c r="Q41" i="1"/>
  <c r="Q42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" i="1"/>
</calcChain>
</file>

<file path=xl/sharedStrings.xml><?xml version="1.0" encoding="utf-8"?>
<sst xmlns="http://schemas.openxmlformats.org/spreadsheetml/2006/main" count="255" uniqueCount="116">
  <si>
    <t>SMC Daily Consumption Report</t>
  </si>
  <si>
    <t>Sr No</t>
  </si>
  <si>
    <t>Part No</t>
  </si>
  <si>
    <t>Stock Item Name</t>
  </si>
  <si>
    <t>Raw Material Grade</t>
  </si>
  <si>
    <t>Supplier</t>
  </si>
  <si>
    <t>Charge Weight (Grams)</t>
  </si>
  <si>
    <t>machine tonnage</t>
  </si>
  <si>
    <t>SHIFT RATE</t>
  </si>
  <si>
    <t>MOTOR HP</t>
  </si>
  <si>
    <t>HEATER WATT</t>
  </si>
  <si>
    <t>MATERIAL RATE KG</t>
  </si>
  <si>
    <t>DEFLASHING RATE</t>
  </si>
  <si>
    <t>INS AND PACKING</t>
  </si>
  <si>
    <t>SCHEDULE</t>
  </si>
  <si>
    <t>REQIRE MATERIAL</t>
  </si>
  <si>
    <t>TOTAL MFG COST</t>
  </si>
  <si>
    <t>MANPOER REQUIREMENT</t>
  </si>
  <si>
    <t>CM52001</t>
  </si>
  <si>
    <t>HOUSING (CM 52001)</t>
  </si>
  <si>
    <t>SMC 405DH GREY(RAL 7015) DN 20%</t>
  </si>
  <si>
    <t>TATA/MAH</t>
  </si>
  <si>
    <t>150T</t>
  </si>
  <si>
    <t>CM52031</t>
  </si>
  <si>
    <t>HOUSING (CM52031)</t>
  </si>
  <si>
    <t>100T</t>
  </si>
  <si>
    <t>CM52101</t>
  </si>
  <si>
    <t>HOUSING DN2 (CM 52101)</t>
  </si>
  <si>
    <t>CM52111</t>
  </si>
  <si>
    <t>HOUSING RC 4 POLE</t>
  </si>
  <si>
    <t xml:space="preserve">CM93567
</t>
  </si>
  <si>
    <t xml:space="preserve">RELEASE BOX (CM93567)
</t>
  </si>
  <si>
    <t>TATA/MAH/DEVI</t>
  </si>
  <si>
    <t xml:space="preserve">CM52035
</t>
  </si>
  <si>
    <t xml:space="preserve">RELEASE COVER (CM52035)
</t>
  </si>
  <si>
    <t>CM93501</t>
  </si>
  <si>
    <t>COVER DN2 3P</t>
  </si>
  <si>
    <t>MAH</t>
  </si>
  <si>
    <t>CM93601</t>
  </si>
  <si>
    <t>COVER DN2 4 POLE</t>
  </si>
  <si>
    <t>EM50376</t>
  </si>
  <si>
    <t>HOSING 3P (em50376)</t>
  </si>
  <si>
    <t xml:space="preserve">EM50928
</t>
  </si>
  <si>
    <t>HOUSING 4P  (EM50928)</t>
  </si>
  <si>
    <t>CL50113</t>
  </si>
  <si>
    <t>COVER FRAME-1/3</t>
  </si>
  <si>
    <t>SMC 405DH GREY(RAL 7015) DN 25%</t>
  </si>
  <si>
    <t>CL50114</t>
  </si>
  <si>
    <t>COVER FRAME -F-2</t>
  </si>
  <si>
    <t>CM56003</t>
  </si>
  <si>
    <t>RELEASE COVER DN4</t>
  </si>
  <si>
    <t>CM98906</t>
  </si>
  <si>
    <t>BASE PLATE ASSLY </t>
  </si>
  <si>
    <t>CM94015</t>
  </si>
  <si>
    <t>D PAN 4P HOUSING</t>
  </si>
  <si>
    <t>CM53049</t>
  </si>
  <si>
    <t>ARC CHUTE BASE</t>
  </si>
  <si>
    <t>CM94091</t>
  </si>
  <si>
    <t>ARC CHUTE COVER ASSLY</t>
  </si>
  <si>
    <t>CM53039</t>
  </si>
  <si>
    <t>SHELL</t>
  </si>
  <si>
    <t>CM53031/32</t>
  </si>
  <si>
    <t>ARCHUTE COVER</t>
  </si>
  <si>
    <t>EM54000</t>
  </si>
  <si>
    <t>CASETTE</t>
  </si>
  <si>
    <t>SMC 405DH GREY(RAL 7015)  25%</t>
  </si>
  <si>
    <t>EM54001</t>
  </si>
  <si>
    <t>CM54003</t>
  </si>
  <si>
    <t>RELEASE COVER</t>
  </si>
  <si>
    <t>CM95509</t>
  </si>
  <si>
    <t xml:space="preserve">RELEASE BOX (CM95509)
</t>
  </si>
  <si>
    <t>CM58414</t>
  </si>
  <si>
    <t>ARC DEFLECTOR</t>
  </si>
  <si>
    <t>CM95820</t>
  </si>
  <si>
    <t>COVER DN3  3P NHP</t>
  </si>
  <si>
    <t>CM56048</t>
  </si>
  <si>
    <t>LOWER CONTACT SPACER- DN4 MCCB</t>
  </si>
  <si>
    <t>SMC 405/25 BLACK 25%</t>
  </si>
  <si>
    <t>DRIVE SHAFT (CM 52002F)</t>
  </si>
  <si>
    <t>CM52105</t>
  </si>
  <si>
    <t>DRIVE SHAFT DN2</t>
  </si>
  <si>
    <t>DRIVE SHAFT DN2-250T</t>
  </si>
  <si>
    <t>DRIVE SHAFT RC10 4POLE</t>
  </si>
  <si>
    <t xml:space="preserve">SMC 516/25 BLACK 25%
</t>
  </si>
  <si>
    <t>DEVI</t>
  </si>
  <si>
    <t>CM56003EP</t>
  </si>
  <si>
    <t xml:space="preserve">SMC 405/25RAL 7011 25% GREY </t>
  </si>
  <si>
    <t>CM53034</t>
  </si>
  <si>
    <t>VENT</t>
  </si>
  <si>
    <t>SMC RAL7016 25% GREY</t>
  </si>
  <si>
    <t>CM53030</t>
  </si>
  <si>
    <t>COVER ARCHUTE</t>
  </si>
  <si>
    <t>EM50060</t>
  </si>
  <si>
    <t>Plug-In Base Frame 6 3P</t>
  </si>
  <si>
    <t>SMC 405/20 RAL 7015 30%</t>
  </si>
  <si>
    <t>CL51603</t>
  </si>
  <si>
    <t>BOTTOM COVER ARC CHUTE</t>
  </si>
  <si>
    <t>SMC 405DH GREY(RAL 7035)  25%</t>
  </si>
  <si>
    <t>CL51602</t>
  </si>
  <si>
    <t>TOP COVER  ARC CHUTE</t>
  </si>
  <si>
    <t>EM54000GS</t>
  </si>
  <si>
    <t>EM54001GS</t>
  </si>
  <si>
    <t>EM50928GS</t>
  </si>
  <si>
    <t>TOTAL</t>
  </si>
  <si>
    <t>CM52002</t>
  </si>
  <si>
    <t>CM50119</t>
  </si>
  <si>
    <t>CM52112</t>
  </si>
  <si>
    <t>shift output of 8 hrs</t>
  </si>
  <si>
    <t>shift output for packing</t>
  </si>
  <si>
    <t>shift output moulding</t>
  </si>
  <si>
    <t>CM52035</t>
  </si>
  <si>
    <t>EM50928</t>
  </si>
  <si>
    <t>CM57775</t>
  </si>
  <si>
    <t>CM90415</t>
  </si>
  <si>
    <t>CM53031</t>
  </si>
  <si>
    <t>Mould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</si>
</sst>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49" fontId="2" fillId="5" borderId="1" xfId="0" applyNumberFormat="1" applyFont="1" applyFill="1" applyBorder="1" applyAlignment="1">
      <alignment horizontal="center" vertical="top" wrapText="1"/>
    </xf>
    <xf numFmtId="0" fontId="3" fillId="2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16" fontId="0" fillId="2" borderId="0" xfId="0" applyNumberFormat="1" applyFill="1"/>
    <xf numFmtId="0" fontId="4" fillId="5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9" borderId="3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 wrapText="1"/>
    </xf>
    <xf numFmtId="49" fontId="1" fillId="10" borderId="3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0" fillId="0" borderId="0" xfId="0" applyNumberFormat="1"/>
    <xf numFmtId="1" fontId="2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topLeftCell="A22" workbookViewId="0">
      <selection activeCell="H32" sqref="H32"/>
    </sheetView>
  </sheetViews>
  <sheetFormatPr defaultRowHeight="14.4" x14ac:dyDescent="0.3"/>
  <cols>
    <col min="2" max="3" width="13.21875" customWidth="1"/>
    <col min="4" max="4" width="24.109375" customWidth="1"/>
    <col min="5" max="5" width="32.33203125" customWidth="1"/>
    <col min="17" max="17" width="8.88671875" style="30"/>
  </cols>
  <sheetData>
    <row r="1" spans="1:21" ht="23.4" x14ac:dyDescent="0.45">
      <c r="A1" s="3" t="s">
        <v>0</v>
      </c>
      <c r="B1" s="1"/>
      <c r="C1" s="1"/>
      <c r="D1" s="1"/>
      <c r="E1" s="6"/>
      <c r="F1" s="1"/>
      <c r="G1" s="1"/>
    </row>
    <row r="2" spans="1:21" x14ac:dyDescent="0.3">
      <c r="A2" s="1"/>
      <c r="B2" s="1"/>
      <c r="C2" s="1"/>
      <c r="D2" s="1"/>
      <c r="E2" s="1"/>
      <c r="F2" s="1"/>
      <c r="G2" s="1"/>
      <c r="Q2" s="30">
        <v>0</v>
      </c>
    </row>
    <row r="3" spans="1:21" ht="48" x14ac:dyDescent="0.3">
      <c r="A3" s="21" t="s">
        <v>1</v>
      </c>
      <c r="B3" s="22" t="s">
        <v>2</v>
      </c>
      <c r="C3" s="22" t="s">
        <v>115</v>
      </c>
      <c r="D3" s="22" t="s">
        <v>3</v>
      </c>
      <c r="E3" s="22" t="s">
        <v>4</v>
      </c>
      <c r="F3" s="22" t="s">
        <v>5</v>
      </c>
      <c r="G3" s="2" t="s">
        <v>6</v>
      </c>
      <c r="H3" s="22" t="s">
        <v>109</v>
      </c>
      <c r="I3" s="22" t="s">
        <v>7</v>
      </c>
      <c r="J3" s="22" t="s">
        <v>8</v>
      </c>
      <c r="K3" s="22" t="s">
        <v>9</v>
      </c>
      <c r="L3" s="22" t="s">
        <v>10</v>
      </c>
      <c r="M3" s="22" t="s">
        <v>11</v>
      </c>
      <c r="N3" s="22" t="s">
        <v>12</v>
      </c>
      <c r="O3" s="22" t="s">
        <v>107</v>
      </c>
      <c r="P3" s="22" t="s">
        <v>13</v>
      </c>
      <c r="Q3" s="31" t="s">
        <v>108</v>
      </c>
      <c r="R3" s="22" t="s">
        <v>14</v>
      </c>
      <c r="S3" s="22" t="s">
        <v>15</v>
      </c>
      <c r="T3" s="22" t="s">
        <v>16</v>
      </c>
      <c r="U3" s="28" t="s">
        <v>17</v>
      </c>
    </row>
    <row r="4" spans="1:21" x14ac:dyDescent="0.3">
      <c r="A4" s="9">
        <v>1</v>
      </c>
      <c r="B4" s="23" t="s">
        <v>18</v>
      </c>
      <c r="C4" s="23" t="s">
        <v>18</v>
      </c>
      <c r="D4" s="10" t="s">
        <v>19</v>
      </c>
      <c r="E4" s="26" t="s">
        <v>20</v>
      </c>
      <c r="F4" s="9" t="s">
        <v>21</v>
      </c>
      <c r="G4" s="9">
        <v>540</v>
      </c>
      <c r="H4" s="4">
        <v>170</v>
      </c>
      <c r="I4" s="4" t="s">
        <v>22</v>
      </c>
      <c r="J4" s="4">
        <v>500</v>
      </c>
      <c r="K4" s="4">
        <v>7.5</v>
      </c>
      <c r="L4" s="4">
        <v>11700</v>
      </c>
      <c r="M4" s="32">
        <v>150.5</v>
      </c>
      <c r="N4" s="4">
        <v>1.88</v>
      </c>
      <c r="O4" s="29">
        <f>280/N4</f>
        <v>148.93617021276597</v>
      </c>
      <c r="P4" s="4">
        <v>0</v>
      </c>
      <c r="Q4" s="29">
        <v>0</v>
      </c>
      <c r="R4" s="4">
        <v>7000</v>
      </c>
      <c r="S4" s="4">
        <v>0</v>
      </c>
      <c r="T4" s="4"/>
    </row>
    <row r="5" spans="1:21" x14ac:dyDescent="0.3">
      <c r="A5" s="9">
        <v>2</v>
      </c>
      <c r="B5" s="24" t="s">
        <v>23</v>
      </c>
      <c r="C5" s="24" t="s">
        <v>23</v>
      </c>
      <c r="D5" s="11" t="s">
        <v>24</v>
      </c>
      <c r="E5" s="26" t="s">
        <v>20</v>
      </c>
      <c r="F5" s="9" t="s">
        <v>21</v>
      </c>
      <c r="G5" s="9">
        <v>480</v>
      </c>
      <c r="H5" s="4">
        <v>110</v>
      </c>
      <c r="I5" s="4" t="s">
        <v>25</v>
      </c>
      <c r="J5" s="4">
        <v>500</v>
      </c>
      <c r="K5" s="4">
        <v>5</v>
      </c>
      <c r="L5" s="4">
        <v>11550</v>
      </c>
      <c r="M5" s="32"/>
      <c r="N5" s="4">
        <v>1.88</v>
      </c>
      <c r="O5" s="29">
        <f t="shared" ref="O5:O42" si="0">280/N5</f>
        <v>148.93617021276597</v>
      </c>
      <c r="P5" s="4">
        <v>0</v>
      </c>
      <c r="Q5" s="29">
        <v>0</v>
      </c>
      <c r="R5" s="4">
        <v>1000</v>
      </c>
      <c r="S5" s="4">
        <v>0</v>
      </c>
      <c r="T5" s="4"/>
    </row>
    <row r="6" spans="1:21" x14ac:dyDescent="0.3">
      <c r="A6" s="9">
        <v>3</v>
      </c>
      <c r="B6" s="24" t="s">
        <v>26</v>
      </c>
      <c r="C6" s="24" t="s">
        <v>26</v>
      </c>
      <c r="D6" s="11" t="s">
        <v>27</v>
      </c>
      <c r="E6" s="26" t="s">
        <v>20</v>
      </c>
      <c r="F6" s="8" t="s">
        <v>21</v>
      </c>
      <c r="G6" s="8">
        <v>690</v>
      </c>
      <c r="H6" s="4">
        <v>170</v>
      </c>
      <c r="I6" s="4" t="s">
        <v>22</v>
      </c>
      <c r="J6" s="4">
        <v>500</v>
      </c>
      <c r="K6" s="4">
        <v>7.5</v>
      </c>
      <c r="L6" s="4">
        <v>12325</v>
      </c>
      <c r="M6" s="32"/>
      <c r="N6" s="4">
        <v>2.17</v>
      </c>
      <c r="O6" s="29">
        <f t="shared" si="0"/>
        <v>129.03225806451613</v>
      </c>
      <c r="P6" s="4">
        <v>0</v>
      </c>
      <c r="Q6" s="29">
        <v>0</v>
      </c>
      <c r="R6" s="4">
        <v>4000</v>
      </c>
      <c r="S6" s="4">
        <v>0</v>
      </c>
      <c r="T6" s="4"/>
    </row>
    <row r="7" spans="1:21" x14ac:dyDescent="0.3">
      <c r="A7" s="9">
        <v>4</v>
      </c>
      <c r="B7" s="24" t="s">
        <v>28</v>
      </c>
      <c r="C7" s="24" t="s">
        <v>28</v>
      </c>
      <c r="D7" s="11" t="s">
        <v>29</v>
      </c>
      <c r="E7" s="26" t="s">
        <v>20</v>
      </c>
      <c r="F7" s="8" t="s">
        <v>21</v>
      </c>
      <c r="G7" s="8">
        <v>650</v>
      </c>
      <c r="H7" s="4">
        <v>110</v>
      </c>
      <c r="I7" s="4" t="s">
        <v>25</v>
      </c>
      <c r="J7" s="4">
        <v>500</v>
      </c>
      <c r="K7" s="4">
        <v>5</v>
      </c>
      <c r="L7" s="4">
        <v>11550</v>
      </c>
      <c r="M7" s="32"/>
      <c r="N7" s="4">
        <v>2.17</v>
      </c>
      <c r="O7" s="29">
        <f t="shared" si="0"/>
        <v>129.03225806451613</v>
      </c>
      <c r="P7" s="4">
        <v>0</v>
      </c>
      <c r="Q7" s="29">
        <v>0</v>
      </c>
      <c r="R7" s="4">
        <v>1500</v>
      </c>
      <c r="S7" s="4">
        <v>0</v>
      </c>
      <c r="T7" s="4"/>
    </row>
    <row r="8" spans="1:21" x14ac:dyDescent="0.3">
      <c r="A8" s="9">
        <v>5</v>
      </c>
      <c r="B8" s="24" t="s">
        <v>30</v>
      </c>
      <c r="C8" s="24" t="s">
        <v>110</v>
      </c>
      <c r="D8" s="11" t="s">
        <v>31</v>
      </c>
      <c r="E8" s="26" t="s">
        <v>20</v>
      </c>
      <c r="F8" s="8" t="s">
        <v>32</v>
      </c>
      <c r="G8" s="8">
        <v>60</v>
      </c>
      <c r="H8" s="4">
        <v>110</v>
      </c>
      <c r="I8" s="4" t="s">
        <v>25</v>
      </c>
      <c r="J8" s="4">
        <v>500</v>
      </c>
      <c r="K8" s="4">
        <v>5</v>
      </c>
      <c r="L8" s="4">
        <v>6200</v>
      </c>
      <c r="M8" s="32"/>
      <c r="N8" s="4">
        <v>1.04</v>
      </c>
      <c r="O8" s="29">
        <f t="shared" si="0"/>
        <v>269.23076923076923</v>
      </c>
      <c r="P8" s="4">
        <v>0.73</v>
      </c>
      <c r="Q8" s="29">
        <f t="shared" ref="Q8:Q42" si="1">280/P8</f>
        <v>383.56164383561645</v>
      </c>
      <c r="R8" s="4">
        <v>1700</v>
      </c>
      <c r="S8" s="4">
        <v>0</v>
      </c>
      <c r="T8" s="4"/>
    </row>
    <row r="9" spans="1:21" x14ac:dyDescent="0.3">
      <c r="A9" s="9">
        <v>6</v>
      </c>
      <c r="B9" s="24" t="s">
        <v>33</v>
      </c>
      <c r="C9" s="24" t="s">
        <v>110</v>
      </c>
      <c r="D9" s="11" t="s">
        <v>34</v>
      </c>
      <c r="E9" s="26" t="s">
        <v>20</v>
      </c>
      <c r="F9" s="8" t="s">
        <v>21</v>
      </c>
      <c r="G9" s="8">
        <v>60</v>
      </c>
      <c r="H9" s="4">
        <v>110</v>
      </c>
      <c r="I9" s="4" t="s">
        <v>25</v>
      </c>
      <c r="J9" s="4">
        <v>500</v>
      </c>
      <c r="K9" s="4">
        <v>5</v>
      </c>
      <c r="L9" s="4">
        <v>6200</v>
      </c>
      <c r="M9" s="32"/>
      <c r="N9" s="4">
        <v>1.04</v>
      </c>
      <c r="O9" s="29">
        <f t="shared" si="0"/>
        <v>269.23076923076923</v>
      </c>
      <c r="P9" s="4">
        <v>0.73</v>
      </c>
      <c r="Q9" s="29">
        <f t="shared" si="1"/>
        <v>383.56164383561645</v>
      </c>
      <c r="R9" s="4">
        <v>1700</v>
      </c>
      <c r="S9" s="4">
        <v>0</v>
      </c>
      <c r="T9" s="4"/>
    </row>
    <row r="10" spans="1:21" x14ac:dyDescent="0.3">
      <c r="A10" s="9">
        <v>7</v>
      </c>
      <c r="B10" s="24" t="s">
        <v>35</v>
      </c>
      <c r="C10" s="24" t="s">
        <v>35</v>
      </c>
      <c r="D10" s="11" t="s">
        <v>36</v>
      </c>
      <c r="E10" s="26" t="s">
        <v>20</v>
      </c>
      <c r="F10" s="8" t="s">
        <v>37</v>
      </c>
      <c r="G10" s="8">
        <v>300</v>
      </c>
      <c r="H10" s="4">
        <v>160</v>
      </c>
      <c r="I10" s="4" t="s">
        <v>22</v>
      </c>
      <c r="J10" s="4">
        <v>500</v>
      </c>
      <c r="K10" s="4">
        <v>7.5</v>
      </c>
      <c r="L10" s="4">
        <v>10400</v>
      </c>
      <c r="M10" s="32"/>
      <c r="N10" s="4">
        <v>2.0299999999999998</v>
      </c>
      <c r="O10" s="29">
        <f t="shared" si="0"/>
        <v>137.93103448275863</v>
      </c>
      <c r="P10" s="4">
        <v>2.5</v>
      </c>
      <c r="Q10" s="29">
        <f t="shared" si="1"/>
        <v>112</v>
      </c>
      <c r="R10" s="4">
        <v>3000</v>
      </c>
      <c r="S10" s="4">
        <v>0</v>
      </c>
      <c r="T10" s="4"/>
    </row>
    <row r="11" spans="1:21" x14ac:dyDescent="0.3">
      <c r="A11" s="9">
        <v>8</v>
      </c>
      <c r="B11" s="24" t="s">
        <v>38</v>
      </c>
      <c r="C11" s="24" t="s">
        <v>38</v>
      </c>
      <c r="D11" s="11" t="s">
        <v>39</v>
      </c>
      <c r="E11" s="26" t="s">
        <v>20</v>
      </c>
      <c r="F11" s="8" t="s">
        <v>37</v>
      </c>
      <c r="G11" s="8">
        <v>405</v>
      </c>
      <c r="H11" s="4">
        <v>130</v>
      </c>
      <c r="I11" s="4" t="s">
        <v>22</v>
      </c>
      <c r="J11" s="4">
        <v>500</v>
      </c>
      <c r="K11" s="4">
        <v>7.5</v>
      </c>
      <c r="L11" s="4">
        <v>10400</v>
      </c>
      <c r="M11" s="32"/>
      <c r="N11" s="4">
        <v>2.52</v>
      </c>
      <c r="O11" s="29">
        <f t="shared" si="0"/>
        <v>111.11111111111111</v>
      </c>
      <c r="P11" s="4">
        <v>2.9</v>
      </c>
      <c r="Q11" s="29">
        <f t="shared" si="1"/>
        <v>96.551724137931032</v>
      </c>
      <c r="R11" s="4">
        <v>1500</v>
      </c>
      <c r="S11" s="4">
        <v>0</v>
      </c>
      <c r="T11" s="4"/>
    </row>
    <row r="12" spans="1:21" x14ac:dyDescent="0.3">
      <c r="A12" s="9">
        <v>9</v>
      </c>
      <c r="B12" s="24" t="s">
        <v>40</v>
      </c>
      <c r="C12" s="24" t="s">
        <v>40</v>
      </c>
      <c r="D12" s="11" t="s">
        <v>41</v>
      </c>
      <c r="E12" s="26" t="s">
        <v>20</v>
      </c>
      <c r="F12" s="8" t="s">
        <v>37</v>
      </c>
      <c r="G12" s="8">
        <v>210</v>
      </c>
      <c r="H12" s="4">
        <v>412</v>
      </c>
      <c r="I12" s="4" t="s">
        <v>22</v>
      </c>
      <c r="J12" s="4">
        <v>500</v>
      </c>
      <c r="K12" s="4">
        <v>7.5</v>
      </c>
      <c r="L12" s="4">
        <v>13100</v>
      </c>
      <c r="M12" s="32"/>
      <c r="N12" s="4">
        <v>1.55</v>
      </c>
      <c r="O12" s="29">
        <f t="shared" si="0"/>
        <v>180.64516129032256</v>
      </c>
      <c r="P12" s="4">
        <v>1.1499999999999999</v>
      </c>
      <c r="Q12" s="29">
        <f t="shared" si="1"/>
        <v>243.47826086956525</v>
      </c>
      <c r="R12" s="4">
        <v>15000</v>
      </c>
      <c r="S12" s="4">
        <v>0</v>
      </c>
      <c r="T12" s="4"/>
    </row>
    <row r="13" spans="1:21" x14ac:dyDescent="0.3">
      <c r="A13" s="9">
        <v>10</v>
      </c>
      <c r="B13" s="24" t="s">
        <v>42</v>
      </c>
      <c r="C13" s="24" t="s">
        <v>111</v>
      </c>
      <c r="D13" s="11" t="s">
        <v>43</v>
      </c>
      <c r="E13" s="26" t="s">
        <v>20</v>
      </c>
      <c r="F13" s="8" t="s">
        <v>37</v>
      </c>
      <c r="G13" s="8">
        <v>280</v>
      </c>
      <c r="H13" s="4">
        <v>183</v>
      </c>
      <c r="I13" s="4" t="s">
        <v>22</v>
      </c>
      <c r="J13" s="4">
        <v>500</v>
      </c>
      <c r="K13" s="4">
        <v>7.5</v>
      </c>
      <c r="L13" s="4">
        <v>9900</v>
      </c>
      <c r="M13" s="32"/>
      <c r="N13" s="4">
        <v>1.88</v>
      </c>
      <c r="O13" s="29">
        <f t="shared" si="0"/>
        <v>148.93617021276597</v>
      </c>
      <c r="P13" s="4">
        <v>1.1499999999999999</v>
      </c>
      <c r="Q13" s="29">
        <f t="shared" si="1"/>
        <v>243.47826086956525</v>
      </c>
      <c r="R13" s="4">
        <v>8500</v>
      </c>
      <c r="S13" s="4">
        <v>0</v>
      </c>
      <c r="T13" s="4"/>
    </row>
    <row r="14" spans="1:21" x14ac:dyDescent="0.3">
      <c r="A14" s="9">
        <v>11</v>
      </c>
      <c r="B14" s="24" t="s">
        <v>44</v>
      </c>
      <c r="C14" s="24" t="s">
        <v>44</v>
      </c>
      <c r="D14" s="11" t="s">
        <v>45</v>
      </c>
      <c r="E14" s="20" t="s">
        <v>46</v>
      </c>
      <c r="F14" s="8" t="s">
        <v>37</v>
      </c>
      <c r="G14" s="8">
        <v>65</v>
      </c>
      <c r="H14" s="4">
        <v>300</v>
      </c>
      <c r="I14" s="4" t="s">
        <v>25</v>
      </c>
      <c r="J14" s="4">
        <v>500</v>
      </c>
      <c r="K14" s="4">
        <v>5</v>
      </c>
      <c r="L14" s="4">
        <v>3100</v>
      </c>
      <c r="M14" s="32">
        <v>160.5</v>
      </c>
      <c r="N14" s="4">
        <v>0.83</v>
      </c>
      <c r="O14" s="29">
        <f t="shared" si="0"/>
        <v>337.34939759036143</v>
      </c>
      <c r="P14" s="4">
        <v>0.65</v>
      </c>
      <c r="Q14" s="29">
        <f t="shared" si="1"/>
        <v>430.76923076923077</v>
      </c>
      <c r="R14" s="4">
        <v>16000</v>
      </c>
      <c r="S14" s="4">
        <v>0</v>
      </c>
      <c r="T14" s="4"/>
    </row>
    <row r="15" spans="1:21" x14ac:dyDescent="0.3">
      <c r="A15" s="9">
        <v>12</v>
      </c>
      <c r="B15" s="25" t="s">
        <v>47</v>
      </c>
      <c r="C15" s="25" t="s">
        <v>47</v>
      </c>
      <c r="D15" s="11" t="s">
        <v>48</v>
      </c>
      <c r="E15" s="20" t="s">
        <v>46</v>
      </c>
      <c r="F15" s="8" t="s">
        <v>37</v>
      </c>
      <c r="G15" s="8">
        <v>77</v>
      </c>
      <c r="H15" s="4">
        <v>110</v>
      </c>
      <c r="I15" s="4" t="s">
        <v>25</v>
      </c>
      <c r="J15" s="4">
        <v>500</v>
      </c>
      <c r="K15" s="4">
        <v>5</v>
      </c>
      <c r="L15" s="4">
        <v>3100</v>
      </c>
      <c r="M15" s="32"/>
      <c r="N15" s="4">
        <v>0.83</v>
      </c>
      <c r="O15" s="29">
        <f t="shared" si="0"/>
        <v>337.34939759036143</v>
      </c>
      <c r="P15" s="4">
        <v>0.65</v>
      </c>
      <c r="Q15" s="29">
        <f t="shared" si="1"/>
        <v>430.76923076923077</v>
      </c>
      <c r="R15" s="4">
        <v>3200</v>
      </c>
      <c r="S15" s="4">
        <v>0</v>
      </c>
      <c r="T15" s="4"/>
    </row>
    <row r="16" spans="1:21" x14ac:dyDescent="0.3">
      <c r="A16" s="9">
        <v>13</v>
      </c>
      <c r="B16" s="25" t="s">
        <v>49</v>
      </c>
      <c r="C16" s="25" t="s">
        <v>49</v>
      </c>
      <c r="D16" s="11" t="s">
        <v>50</v>
      </c>
      <c r="E16" s="20" t="s">
        <v>46</v>
      </c>
      <c r="F16" s="8" t="s">
        <v>37</v>
      </c>
      <c r="G16" s="8">
        <v>240</v>
      </c>
      <c r="H16" s="4">
        <v>110</v>
      </c>
      <c r="I16" s="4" t="s">
        <v>25</v>
      </c>
      <c r="J16" s="4">
        <v>500</v>
      </c>
      <c r="K16" s="4">
        <v>5</v>
      </c>
      <c r="L16" s="4">
        <v>10800</v>
      </c>
      <c r="M16" s="32"/>
      <c r="N16" s="4">
        <v>1.04</v>
      </c>
      <c r="O16" s="29">
        <f t="shared" si="0"/>
        <v>269.23076923076923</v>
      </c>
      <c r="P16" s="4">
        <v>0.7</v>
      </c>
      <c r="Q16" s="29">
        <f t="shared" si="1"/>
        <v>400</v>
      </c>
      <c r="R16" s="4">
        <v>2100</v>
      </c>
      <c r="S16" s="4">
        <v>0</v>
      </c>
      <c r="T16" s="4"/>
    </row>
    <row r="17" spans="1:20" x14ac:dyDescent="0.3">
      <c r="A17" s="9">
        <v>14</v>
      </c>
      <c r="B17" s="24" t="s">
        <v>51</v>
      </c>
      <c r="C17" s="24" t="s">
        <v>112</v>
      </c>
      <c r="D17" s="11" t="s">
        <v>52</v>
      </c>
      <c r="E17" s="20" t="s">
        <v>46</v>
      </c>
      <c r="F17" s="8" t="s">
        <v>37</v>
      </c>
      <c r="G17" s="8">
        <v>148</v>
      </c>
      <c r="H17" s="4">
        <v>115</v>
      </c>
      <c r="I17" s="4" t="s">
        <v>25</v>
      </c>
      <c r="J17" s="4">
        <v>500</v>
      </c>
      <c r="K17" s="4">
        <v>5</v>
      </c>
      <c r="L17" s="4"/>
      <c r="M17" s="32"/>
      <c r="N17" s="4">
        <v>1.1100000000000001</v>
      </c>
      <c r="O17" s="29">
        <f t="shared" si="0"/>
        <v>252.25225225225222</v>
      </c>
      <c r="P17" s="4">
        <v>1</v>
      </c>
      <c r="Q17" s="29">
        <f t="shared" si="1"/>
        <v>280</v>
      </c>
      <c r="R17" s="4">
        <v>0</v>
      </c>
      <c r="S17" s="4">
        <v>0</v>
      </c>
      <c r="T17" s="4"/>
    </row>
    <row r="18" spans="1:20" x14ac:dyDescent="0.3">
      <c r="A18" s="9">
        <v>15</v>
      </c>
      <c r="B18" s="24" t="s">
        <v>53</v>
      </c>
      <c r="C18" s="24" t="s">
        <v>113</v>
      </c>
      <c r="D18" s="11" t="s">
        <v>54</v>
      </c>
      <c r="E18" s="20" t="s">
        <v>46</v>
      </c>
      <c r="F18" s="8" t="s">
        <v>37</v>
      </c>
      <c r="G18" s="8">
        <v>280</v>
      </c>
      <c r="H18" s="4">
        <v>115</v>
      </c>
      <c r="I18" s="4" t="s">
        <v>25</v>
      </c>
      <c r="J18" s="4">
        <v>500</v>
      </c>
      <c r="K18" s="4">
        <v>5</v>
      </c>
      <c r="L18" s="4"/>
      <c r="M18" s="32"/>
      <c r="N18" s="4">
        <v>2.75</v>
      </c>
      <c r="O18" s="29">
        <f t="shared" si="0"/>
        <v>101.81818181818181</v>
      </c>
      <c r="P18" s="4">
        <v>1</v>
      </c>
      <c r="Q18" s="29">
        <f t="shared" si="1"/>
        <v>280</v>
      </c>
      <c r="R18" s="4">
        <v>0</v>
      </c>
      <c r="S18" s="4">
        <v>0</v>
      </c>
      <c r="T18" s="4"/>
    </row>
    <row r="19" spans="1:20" x14ac:dyDescent="0.3">
      <c r="A19" s="9">
        <v>16</v>
      </c>
      <c r="B19" s="24" t="s">
        <v>55</v>
      </c>
      <c r="C19" s="24" t="s">
        <v>55</v>
      </c>
      <c r="D19" s="11" t="s">
        <v>56</v>
      </c>
      <c r="E19" s="20" t="s">
        <v>46</v>
      </c>
      <c r="F19" s="8" t="s">
        <v>37</v>
      </c>
      <c r="G19" s="8">
        <v>50</v>
      </c>
      <c r="H19" s="4">
        <v>90</v>
      </c>
      <c r="I19" s="4" t="s">
        <v>25</v>
      </c>
      <c r="J19" s="4">
        <v>500</v>
      </c>
      <c r="K19" s="4">
        <v>5</v>
      </c>
      <c r="L19" s="4">
        <v>2850</v>
      </c>
      <c r="M19" s="32"/>
      <c r="N19" s="4">
        <v>1.0900000000000001</v>
      </c>
      <c r="O19" s="29">
        <f t="shared" si="0"/>
        <v>256.8807339449541</v>
      </c>
      <c r="P19" s="4">
        <v>0</v>
      </c>
      <c r="Q19" s="29">
        <v>0</v>
      </c>
      <c r="R19" s="4">
        <v>0</v>
      </c>
      <c r="S19" s="4">
        <v>0</v>
      </c>
      <c r="T19" s="4"/>
    </row>
    <row r="20" spans="1:20" x14ac:dyDescent="0.3">
      <c r="A20" s="9">
        <v>17</v>
      </c>
      <c r="B20" s="24" t="s">
        <v>57</v>
      </c>
      <c r="C20" s="24" t="s">
        <v>57</v>
      </c>
      <c r="D20" s="11" t="s">
        <v>58</v>
      </c>
      <c r="E20" s="20" t="s">
        <v>46</v>
      </c>
      <c r="F20" s="8" t="s">
        <v>37</v>
      </c>
      <c r="G20" s="8">
        <v>38</v>
      </c>
      <c r="H20" s="4">
        <v>90</v>
      </c>
      <c r="I20" s="4" t="s">
        <v>25</v>
      </c>
      <c r="J20" s="4">
        <v>500</v>
      </c>
      <c r="K20" s="4">
        <v>5</v>
      </c>
      <c r="L20" s="4">
        <v>2800</v>
      </c>
      <c r="M20" s="32"/>
      <c r="N20" s="4">
        <v>0.39</v>
      </c>
      <c r="O20" s="29">
        <f t="shared" si="0"/>
        <v>717.9487179487179</v>
      </c>
      <c r="P20" s="4">
        <v>0</v>
      </c>
      <c r="Q20" s="29">
        <v>0</v>
      </c>
      <c r="R20" s="4">
        <v>0</v>
      </c>
      <c r="S20" s="4">
        <v>0</v>
      </c>
      <c r="T20" s="4"/>
    </row>
    <row r="21" spans="1:20" x14ac:dyDescent="0.3">
      <c r="A21" s="9">
        <v>18</v>
      </c>
      <c r="B21" s="24" t="s">
        <v>59</v>
      </c>
      <c r="C21" s="24" t="s">
        <v>59</v>
      </c>
      <c r="D21" s="11" t="s">
        <v>60</v>
      </c>
      <c r="E21" s="20" t="s">
        <v>46</v>
      </c>
      <c r="F21" s="8" t="s">
        <v>37</v>
      </c>
      <c r="G21" s="8">
        <v>12</v>
      </c>
      <c r="H21" s="4">
        <v>280</v>
      </c>
      <c r="I21" s="4" t="s">
        <v>25</v>
      </c>
      <c r="J21" s="4">
        <v>500</v>
      </c>
      <c r="K21" s="4">
        <v>5</v>
      </c>
      <c r="L21" s="4"/>
      <c r="M21" s="32"/>
      <c r="N21" s="4">
        <v>0.14000000000000001</v>
      </c>
      <c r="O21" s="29">
        <f t="shared" si="0"/>
        <v>1999.9999999999998</v>
      </c>
      <c r="P21" s="4">
        <v>0</v>
      </c>
      <c r="Q21" s="29">
        <v>0</v>
      </c>
      <c r="R21" s="4">
        <v>0</v>
      </c>
      <c r="S21" s="4">
        <v>0</v>
      </c>
      <c r="T21" s="4"/>
    </row>
    <row r="22" spans="1:20" x14ac:dyDescent="0.3">
      <c r="A22" s="9">
        <v>19</v>
      </c>
      <c r="B22" s="24" t="s">
        <v>61</v>
      </c>
      <c r="C22" s="24" t="s">
        <v>114</v>
      </c>
      <c r="D22" s="11" t="s">
        <v>62</v>
      </c>
      <c r="E22" s="20" t="s">
        <v>46</v>
      </c>
      <c r="F22" s="8" t="s">
        <v>37</v>
      </c>
      <c r="G22" s="8">
        <v>70</v>
      </c>
      <c r="H22" s="4">
        <v>160</v>
      </c>
      <c r="I22" s="4" t="s">
        <v>25</v>
      </c>
      <c r="J22" s="4">
        <v>500</v>
      </c>
      <c r="K22" s="4">
        <v>5</v>
      </c>
      <c r="L22" s="4"/>
      <c r="M22" s="32"/>
      <c r="N22" s="4">
        <v>1</v>
      </c>
      <c r="O22" s="29">
        <f t="shared" si="0"/>
        <v>280</v>
      </c>
      <c r="P22" s="4">
        <v>0</v>
      </c>
      <c r="Q22" s="29">
        <v>0</v>
      </c>
      <c r="R22" s="4">
        <v>0</v>
      </c>
      <c r="S22" s="4">
        <v>0</v>
      </c>
      <c r="T22" s="4"/>
    </row>
    <row r="23" spans="1:20" x14ac:dyDescent="0.3">
      <c r="A23" s="9">
        <v>20</v>
      </c>
      <c r="B23" s="24" t="s">
        <v>63</v>
      </c>
      <c r="C23" s="24" t="s">
        <v>63</v>
      </c>
      <c r="D23" s="12" t="s">
        <v>64</v>
      </c>
      <c r="E23" s="20" t="s">
        <v>65</v>
      </c>
      <c r="F23" s="8" t="s">
        <v>37</v>
      </c>
      <c r="G23" s="8">
        <v>80</v>
      </c>
      <c r="H23" s="4">
        <v>240</v>
      </c>
      <c r="I23" s="4" t="s">
        <v>22</v>
      </c>
      <c r="J23" s="4">
        <v>500</v>
      </c>
      <c r="K23" s="4">
        <v>7.5</v>
      </c>
      <c r="L23" s="4">
        <v>11250</v>
      </c>
      <c r="M23" s="32"/>
      <c r="N23" s="4">
        <v>1.75</v>
      </c>
      <c r="O23" s="29">
        <f t="shared" si="0"/>
        <v>160</v>
      </c>
      <c r="P23" s="4">
        <v>0.5</v>
      </c>
      <c r="Q23" s="29">
        <f t="shared" si="1"/>
        <v>560</v>
      </c>
      <c r="R23" s="4">
        <v>6200</v>
      </c>
      <c r="S23" s="4">
        <v>0</v>
      </c>
      <c r="T23" s="4"/>
    </row>
    <row r="24" spans="1:20" x14ac:dyDescent="0.3">
      <c r="A24" s="9">
        <v>21</v>
      </c>
      <c r="B24" s="24" t="s">
        <v>66</v>
      </c>
      <c r="C24" s="24" t="s">
        <v>63</v>
      </c>
      <c r="D24" s="12" t="s">
        <v>64</v>
      </c>
      <c r="E24" s="20" t="s">
        <v>65</v>
      </c>
      <c r="F24" s="8" t="s">
        <v>37</v>
      </c>
      <c r="G24" s="8">
        <v>82</v>
      </c>
      <c r="H24" s="4">
        <v>240</v>
      </c>
      <c r="I24" s="4" t="s">
        <v>22</v>
      </c>
      <c r="J24" s="4">
        <v>500</v>
      </c>
      <c r="K24" s="4">
        <v>7.5</v>
      </c>
      <c r="L24" s="4"/>
      <c r="M24" s="32"/>
      <c r="N24" s="4">
        <v>1.75</v>
      </c>
      <c r="O24" s="29">
        <f t="shared" si="0"/>
        <v>160</v>
      </c>
      <c r="P24" s="4">
        <v>0.5</v>
      </c>
      <c r="Q24" s="29">
        <f t="shared" si="1"/>
        <v>560</v>
      </c>
      <c r="R24" s="4">
        <v>6200</v>
      </c>
      <c r="S24" s="4">
        <v>0</v>
      </c>
      <c r="T24" s="4"/>
    </row>
    <row r="25" spans="1:20" x14ac:dyDescent="0.3">
      <c r="A25" s="9">
        <v>22</v>
      </c>
      <c r="B25" s="24" t="s">
        <v>67</v>
      </c>
      <c r="C25" s="24" t="s">
        <v>69</v>
      </c>
      <c r="D25" s="12" t="s">
        <v>68</v>
      </c>
      <c r="E25" s="20" t="s">
        <v>65</v>
      </c>
      <c r="F25" s="8" t="s">
        <v>37</v>
      </c>
      <c r="G25" s="8">
        <v>138</v>
      </c>
      <c r="H25" s="4">
        <v>120</v>
      </c>
      <c r="I25" s="4" t="s">
        <v>25</v>
      </c>
      <c r="J25" s="4">
        <v>500</v>
      </c>
      <c r="K25" s="4">
        <v>5</v>
      </c>
      <c r="L25" s="4"/>
      <c r="M25" s="32"/>
      <c r="N25" s="4">
        <v>1.35</v>
      </c>
      <c r="O25" s="29">
        <f t="shared" si="0"/>
        <v>207.40740740740739</v>
      </c>
      <c r="P25" s="4">
        <v>1</v>
      </c>
      <c r="Q25" s="29">
        <f t="shared" si="1"/>
        <v>280</v>
      </c>
      <c r="R25" s="4">
        <v>4700</v>
      </c>
      <c r="S25" s="4">
        <v>0</v>
      </c>
      <c r="T25" s="4"/>
    </row>
    <row r="26" spans="1:20" x14ac:dyDescent="0.3">
      <c r="A26" s="9">
        <v>23</v>
      </c>
      <c r="B26" s="24" t="s">
        <v>69</v>
      </c>
      <c r="C26" s="24" t="s">
        <v>69</v>
      </c>
      <c r="D26" s="11" t="s">
        <v>70</v>
      </c>
      <c r="E26" s="20" t="s">
        <v>65</v>
      </c>
      <c r="F26" s="8" t="s">
        <v>37</v>
      </c>
      <c r="G26" s="8">
        <v>145</v>
      </c>
      <c r="H26" s="4">
        <v>120</v>
      </c>
      <c r="I26" s="4" t="s">
        <v>25</v>
      </c>
      <c r="J26" s="4">
        <v>500</v>
      </c>
      <c r="K26" s="4">
        <v>5</v>
      </c>
      <c r="L26" s="4">
        <v>7150</v>
      </c>
      <c r="M26" s="32"/>
      <c r="N26" s="4">
        <v>1.55</v>
      </c>
      <c r="O26" s="29">
        <f t="shared" si="0"/>
        <v>180.64516129032256</v>
      </c>
      <c r="P26" s="4">
        <v>1</v>
      </c>
      <c r="Q26" s="29">
        <f t="shared" si="1"/>
        <v>280</v>
      </c>
      <c r="R26" s="4">
        <v>4700</v>
      </c>
      <c r="S26" s="4">
        <v>0</v>
      </c>
      <c r="T26" s="4"/>
    </row>
    <row r="27" spans="1:20" ht="18.75" customHeight="1" x14ac:dyDescent="0.3">
      <c r="A27" s="9">
        <v>24</v>
      </c>
      <c r="B27" s="24" t="s">
        <v>71</v>
      </c>
      <c r="C27" s="24" t="s">
        <v>71</v>
      </c>
      <c r="D27" s="12" t="s">
        <v>72</v>
      </c>
      <c r="E27" s="20" t="s">
        <v>65</v>
      </c>
      <c r="F27" s="8" t="s">
        <v>37</v>
      </c>
      <c r="G27" s="8">
        <v>31.25</v>
      </c>
      <c r="H27" s="4">
        <v>820</v>
      </c>
      <c r="I27" s="4" t="s">
        <v>25</v>
      </c>
      <c r="J27" s="4">
        <v>500</v>
      </c>
      <c r="K27" s="4">
        <v>5</v>
      </c>
      <c r="L27" s="4">
        <v>7700</v>
      </c>
      <c r="M27" s="32"/>
      <c r="N27" s="4">
        <v>0.31</v>
      </c>
      <c r="O27" s="29">
        <f t="shared" si="0"/>
        <v>903.22580645161293</v>
      </c>
      <c r="P27" s="4">
        <v>0.35</v>
      </c>
      <c r="Q27" s="29">
        <f t="shared" si="1"/>
        <v>800</v>
      </c>
      <c r="R27" s="4">
        <v>15000</v>
      </c>
      <c r="S27" s="4">
        <v>0</v>
      </c>
      <c r="T27" s="4"/>
    </row>
    <row r="28" spans="1:20" x14ac:dyDescent="0.3">
      <c r="A28" s="9">
        <v>25</v>
      </c>
      <c r="B28" s="24" t="s">
        <v>73</v>
      </c>
      <c r="C28" s="24" t="s">
        <v>73</v>
      </c>
      <c r="D28" s="11" t="s">
        <v>74</v>
      </c>
      <c r="E28" s="20" t="s">
        <v>46</v>
      </c>
      <c r="F28" s="8" t="s">
        <v>37</v>
      </c>
      <c r="G28" s="8">
        <v>850</v>
      </c>
      <c r="H28" s="4">
        <v>86</v>
      </c>
      <c r="I28" s="4" t="s">
        <v>22</v>
      </c>
      <c r="J28" s="4">
        <v>500</v>
      </c>
      <c r="K28" s="4">
        <v>7.5</v>
      </c>
      <c r="L28" s="4"/>
      <c r="M28" s="32"/>
      <c r="N28" s="4">
        <v>2.63</v>
      </c>
      <c r="O28" s="29">
        <f t="shared" si="0"/>
        <v>106.46387832699621</v>
      </c>
      <c r="P28" s="4">
        <v>2.9</v>
      </c>
      <c r="Q28" s="29">
        <f t="shared" si="1"/>
        <v>96.551724137931032</v>
      </c>
      <c r="R28" s="4">
        <v>0</v>
      </c>
      <c r="S28" s="4">
        <v>0</v>
      </c>
      <c r="T28" s="4"/>
    </row>
    <row r="29" spans="1:20" x14ac:dyDescent="0.3">
      <c r="A29" s="9">
        <v>26</v>
      </c>
      <c r="B29" s="24" t="s">
        <v>75</v>
      </c>
      <c r="C29" s="24" t="s">
        <v>75</v>
      </c>
      <c r="D29" s="11" t="s">
        <v>76</v>
      </c>
      <c r="E29" s="27" t="s">
        <v>77</v>
      </c>
      <c r="F29" s="8" t="s">
        <v>37</v>
      </c>
      <c r="G29" s="8">
        <v>25</v>
      </c>
      <c r="H29" s="4">
        <v>528</v>
      </c>
      <c r="I29" s="4" t="s">
        <v>25</v>
      </c>
      <c r="J29" s="4">
        <v>500</v>
      </c>
      <c r="K29" s="4">
        <v>5</v>
      </c>
      <c r="L29" s="4">
        <v>5700</v>
      </c>
      <c r="M29" s="33">
        <v>160.02000000000001</v>
      </c>
      <c r="N29" s="4">
        <v>0.31</v>
      </c>
      <c r="O29" s="29">
        <f t="shared" si="0"/>
        <v>903.22580645161293</v>
      </c>
      <c r="P29" s="4">
        <v>0.15</v>
      </c>
      <c r="Q29" s="29">
        <f t="shared" si="1"/>
        <v>1866.6666666666667</v>
      </c>
      <c r="R29" s="4">
        <v>13500</v>
      </c>
      <c r="S29" s="4">
        <v>0</v>
      </c>
      <c r="T29" s="4"/>
    </row>
    <row r="30" spans="1:20" x14ac:dyDescent="0.3">
      <c r="A30" s="9">
        <v>27</v>
      </c>
      <c r="B30" s="24" t="s">
        <v>104</v>
      </c>
      <c r="C30" s="24" t="s">
        <v>104</v>
      </c>
      <c r="D30" s="11" t="s">
        <v>78</v>
      </c>
      <c r="E30" s="27" t="s">
        <v>77</v>
      </c>
      <c r="F30" s="8" t="s">
        <v>37</v>
      </c>
      <c r="G30" s="8">
        <v>48</v>
      </c>
      <c r="H30" s="4">
        <v>190</v>
      </c>
      <c r="I30" s="4" t="s">
        <v>25</v>
      </c>
      <c r="J30" s="4">
        <v>500</v>
      </c>
      <c r="K30" s="4">
        <v>5</v>
      </c>
      <c r="L30" s="4">
        <v>6500</v>
      </c>
      <c r="M30" s="33"/>
      <c r="N30" s="4">
        <v>0.99</v>
      </c>
      <c r="O30" s="29">
        <f t="shared" si="0"/>
        <v>282.82828282828285</v>
      </c>
      <c r="P30" s="4">
        <v>0</v>
      </c>
      <c r="Q30" s="29">
        <v>0</v>
      </c>
      <c r="R30" s="4">
        <v>7000</v>
      </c>
      <c r="S30" s="4">
        <v>0</v>
      </c>
      <c r="T30" s="4"/>
    </row>
    <row r="31" spans="1:20" x14ac:dyDescent="0.3">
      <c r="A31" s="9">
        <v>28</v>
      </c>
      <c r="B31" s="24" t="s">
        <v>79</v>
      </c>
      <c r="C31" s="24" t="s">
        <v>79</v>
      </c>
      <c r="D31" s="11" t="s">
        <v>80</v>
      </c>
      <c r="E31" s="27" t="s">
        <v>77</v>
      </c>
      <c r="F31" s="8" t="s">
        <v>37</v>
      </c>
      <c r="G31" s="8">
        <v>60</v>
      </c>
      <c r="H31" s="4">
        <v>190</v>
      </c>
      <c r="I31" s="4" t="s">
        <v>25</v>
      </c>
      <c r="J31" s="4">
        <v>500</v>
      </c>
      <c r="K31" s="4">
        <v>5</v>
      </c>
      <c r="L31" s="4">
        <v>7000</v>
      </c>
      <c r="M31" s="33"/>
      <c r="N31" s="4">
        <v>1.34</v>
      </c>
      <c r="O31" s="29">
        <f t="shared" si="0"/>
        <v>208.955223880597</v>
      </c>
      <c r="P31" s="4">
        <v>0</v>
      </c>
      <c r="Q31" s="29">
        <v>0</v>
      </c>
      <c r="R31" s="4">
        <v>4000</v>
      </c>
      <c r="S31" s="4">
        <v>0</v>
      </c>
      <c r="T31" s="4"/>
    </row>
    <row r="32" spans="1:20" x14ac:dyDescent="0.3">
      <c r="A32" s="9">
        <v>29</v>
      </c>
      <c r="B32" s="24" t="s">
        <v>105</v>
      </c>
      <c r="C32" s="24" t="s">
        <v>105</v>
      </c>
      <c r="D32" s="11" t="s">
        <v>81</v>
      </c>
      <c r="E32" s="27" t="s">
        <v>77</v>
      </c>
      <c r="F32" s="8" t="s">
        <v>37</v>
      </c>
      <c r="G32" s="8">
        <v>52</v>
      </c>
      <c r="H32" s="4">
        <v>100</v>
      </c>
      <c r="I32" s="4" t="s">
        <v>25</v>
      </c>
      <c r="J32" s="4">
        <v>500</v>
      </c>
      <c r="K32" s="4">
        <v>5</v>
      </c>
      <c r="L32" s="4">
        <v>6000</v>
      </c>
      <c r="M32" s="33"/>
      <c r="N32" s="4">
        <v>1.34</v>
      </c>
      <c r="O32" s="29">
        <f t="shared" si="0"/>
        <v>208.955223880597</v>
      </c>
      <c r="P32" s="4">
        <v>0</v>
      </c>
      <c r="Q32" s="29">
        <v>0</v>
      </c>
      <c r="R32" s="4">
        <v>0</v>
      </c>
      <c r="S32" s="4">
        <v>0</v>
      </c>
      <c r="T32" s="4"/>
    </row>
    <row r="33" spans="1:20" x14ac:dyDescent="0.3">
      <c r="A33" s="9">
        <v>30</v>
      </c>
      <c r="B33" s="24" t="s">
        <v>106</v>
      </c>
      <c r="C33" s="24" t="s">
        <v>106</v>
      </c>
      <c r="D33" s="11" t="s">
        <v>82</v>
      </c>
      <c r="E33" s="13" t="s">
        <v>83</v>
      </c>
      <c r="F33" s="8" t="s">
        <v>84</v>
      </c>
      <c r="G33" s="8">
        <v>62</v>
      </c>
      <c r="H33" s="4">
        <v>110</v>
      </c>
      <c r="I33" s="4" t="s">
        <v>25</v>
      </c>
      <c r="J33" s="4">
        <v>500</v>
      </c>
      <c r="K33" s="4">
        <v>5</v>
      </c>
      <c r="L33" s="4">
        <v>6000</v>
      </c>
      <c r="M33" s="5">
        <v>180.5</v>
      </c>
      <c r="N33" s="4">
        <v>1.63</v>
      </c>
      <c r="O33" s="29">
        <f t="shared" si="0"/>
        <v>171.7791411042945</v>
      </c>
      <c r="P33" s="4">
        <v>0.5</v>
      </c>
      <c r="Q33" s="29">
        <f t="shared" si="1"/>
        <v>560</v>
      </c>
      <c r="R33" s="4">
        <v>1500</v>
      </c>
      <c r="S33" s="4">
        <v>0</v>
      </c>
      <c r="T33" s="4"/>
    </row>
    <row r="34" spans="1:20" x14ac:dyDescent="0.3">
      <c r="A34" s="9">
        <v>31</v>
      </c>
      <c r="B34" s="24" t="s">
        <v>85</v>
      </c>
      <c r="C34" s="24" t="s">
        <v>49</v>
      </c>
      <c r="D34" s="11" t="s">
        <v>50</v>
      </c>
      <c r="E34" s="19" t="s">
        <v>86</v>
      </c>
      <c r="F34" s="8" t="s">
        <v>37</v>
      </c>
      <c r="G34" s="8">
        <v>240</v>
      </c>
      <c r="H34" s="4">
        <v>110</v>
      </c>
      <c r="I34" s="4" t="s">
        <v>25</v>
      </c>
      <c r="J34" s="4">
        <v>500</v>
      </c>
      <c r="K34" s="4">
        <v>5</v>
      </c>
      <c r="L34" s="4">
        <v>10800</v>
      </c>
      <c r="M34" s="5">
        <v>160</v>
      </c>
      <c r="N34" s="4">
        <v>1.04</v>
      </c>
      <c r="O34" s="29">
        <f t="shared" si="0"/>
        <v>269.23076923076923</v>
      </c>
      <c r="P34" s="4">
        <v>0.7</v>
      </c>
      <c r="Q34" s="29">
        <f t="shared" si="1"/>
        <v>400</v>
      </c>
      <c r="R34" s="4">
        <v>2100</v>
      </c>
      <c r="S34" s="4">
        <v>0</v>
      </c>
      <c r="T34" s="4"/>
    </row>
    <row r="35" spans="1:20" x14ac:dyDescent="0.3">
      <c r="A35" s="9">
        <v>32</v>
      </c>
      <c r="B35" s="24" t="s">
        <v>87</v>
      </c>
      <c r="C35" s="24" t="s">
        <v>87</v>
      </c>
      <c r="D35" s="11" t="s">
        <v>88</v>
      </c>
      <c r="E35" s="15" t="s">
        <v>89</v>
      </c>
      <c r="F35" s="8"/>
      <c r="G35" s="8">
        <v>28</v>
      </c>
      <c r="H35" s="4">
        <v>300</v>
      </c>
      <c r="I35" s="4" t="s">
        <v>25</v>
      </c>
      <c r="J35" s="4">
        <v>500</v>
      </c>
      <c r="K35" s="4">
        <v>5</v>
      </c>
      <c r="L35" s="4"/>
      <c r="M35" s="5"/>
      <c r="N35" s="4">
        <v>0.2</v>
      </c>
      <c r="O35" s="29">
        <f t="shared" si="0"/>
        <v>1400</v>
      </c>
      <c r="P35" s="4">
        <v>0</v>
      </c>
      <c r="Q35" s="29">
        <v>0</v>
      </c>
      <c r="R35" s="4">
        <v>0</v>
      </c>
      <c r="S35" s="4">
        <v>0</v>
      </c>
      <c r="T35" s="4"/>
    </row>
    <row r="36" spans="1:20" x14ac:dyDescent="0.3">
      <c r="A36" s="9">
        <v>33</v>
      </c>
      <c r="B36" s="24" t="s">
        <v>90</v>
      </c>
      <c r="C36" s="24" t="s">
        <v>90</v>
      </c>
      <c r="D36" s="11" t="s">
        <v>91</v>
      </c>
      <c r="E36" s="15" t="s">
        <v>89</v>
      </c>
      <c r="F36" s="8"/>
      <c r="G36" s="8">
        <v>28</v>
      </c>
      <c r="H36" s="4">
        <v>300</v>
      </c>
      <c r="I36" s="4" t="s">
        <v>25</v>
      </c>
      <c r="J36" s="4">
        <v>500</v>
      </c>
      <c r="K36" s="4">
        <v>5</v>
      </c>
      <c r="L36" s="4"/>
      <c r="M36" s="5"/>
      <c r="N36" s="4">
        <v>0.21</v>
      </c>
      <c r="O36" s="29">
        <f t="shared" si="0"/>
        <v>1333.3333333333335</v>
      </c>
      <c r="P36" s="4">
        <v>0</v>
      </c>
      <c r="Q36" s="29">
        <v>0</v>
      </c>
      <c r="R36" s="4">
        <v>0</v>
      </c>
      <c r="S36" s="4">
        <v>0</v>
      </c>
      <c r="T36" s="4"/>
    </row>
    <row r="37" spans="1:20" ht="19.5" customHeight="1" x14ac:dyDescent="0.3">
      <c r="A37" s="9">
        <v>34</v>
      </c>
      <c r="B37" s="24" t="s">
        <v>92</v>
      </c>
      <c r="C37" s="24" t="s">
        <v>92</v>
      </c>
      <c r="D37" s="11" t="s">
        <v>93</v>
      </c>
      <c r="E37" s="14" t="s">
        <v>94</v>
      </c>
      <c r="F37" s="8" t="s">
        <v>37</v>
      </c>
      <c r="G37" s="8">
        <v>650</v>
      </c>
      <c r="H37" s="4">
        <v>90</v>
      </c>
      <c r="I37" s="4" t="s">
        <v>22</v>
      </c>
      <c r="J37" s="4">
        <v>500</v>
      </c>
      <c r="K37" s="4">
        <v>7.5</v>
      </c>
      <c r="L37" s="4"/>
      <c r="M37" s="5"/>
      <c r="N37" s="4">
        <v>4.0599999999999996</v>
      </c>
      <c r="O37" s="29">
        <f t="shared" si="0"/>
        <v>68.965517241379317</v>
      </c>
      <c r="P37" s="4">
        <v>0</v>
      </c>
      <c r="Q37" s="29">
        <v>0</v>
      </c>
      <c r="R37" s="4">
        <v>0</v>
      </c>
      <c r="S37" s="4">
        <v>0</v>
      </c>
      <c r="T37" s="4"/>
    </row>
    <row r="38" spans="1:20" ht="24" customHeight="1" x14ac:dyDescent="0.3">
      <c r="A38" s="9">
        <v>35</v>
      </c>
      <c r="B38" s="25" t="s">
        <v>95</v>
      </c>
      <c r="C38" s="25" t="s">
        <v>95</v>
      </c>
      <c r="D38" s="12" t="s">
        <v>96</v>
      </c>
      <c r="E38" s="18" t="s">
        <v>97</v>
      </c>
      <c r="F38" s="8" t="s">
        <v>37</v>
      </c>
      <c r="G38" s="8">
        <v>98</v>
      </c>
      <c r="H38" s="4">
        <v>300</v>
      </c>
      <c r="I38" s="4" t="s">
        <v>25</v>
      </c>
      <c r="J38" s="4">
        <v>500</v>
      </c>
      <c r="K38" s="4">
        <v>5</v>
      </c>
      <c r="L38" s="4">
        <v>7350</v>
      </c>
      <c r="M38" s="32">
        <v>153.85</v>
      </c>
      <c r="N38" s="4">
        <v>1.5</v>
      </c>
      <c r="O38" s="29">
        <f t="shared" si="0"/>
        <v>186.66666666666666</v>
      </c>
      <c r="P38" s="4">
        <v>0.61</v>
      </c>
      <c r="Q38" s="29">
        <f t="shared" si="1"/>
        <v>459.01639344262298</v>
      </c>
      <c r="R38" s="4">
        <v>10000</v>
      </c>
      <c r="S38" s="4">
        <v>0</v>
      </c>
      <c r="T38" s="4"/>
    </row>
    <row r="39" spans="1:20" ht="19.5" customHeight="1" x14ac:dyDescent="0.3">
      <c r="A39" s="9">
        <v>36</v>
      </c>
      <c r="B39" s="25" t="s">
        <v>98</v>
      </c>
      <c r="C39" s="25" t="s">
        <v>98</v>
      </c>
      <c r="D39" s="12" t="s">
        <v>99</v>
      </c>
      <c r="E39" s="18" t="s">
        <v>97</v>
      </c>
      <c r="F39" s="8" t="s">
        <v>37</v>
      </c>
      <c r="G39" s="8">
        <v>105</v>
      </c>
      <c r="H39" s="4">
        <v>300</v>
      </c>
      <c r="I39" s="4" t="s">
        <v>25</v>
      </c>
      <c r="J39" s="4">
        <v>500</v>
      </c>
      <c r="K39" s="4">
        <v>5</v>
      </c>
      <c r="L39" s="4">
        <v>7350</v>
      </c>
      <c r="M39" s="32"/>
      <c r="N39" s="4">
        <v>1.4</v>
      </c>
      <c r="O39" s="29">
        <f t="shared" si="0"/>
        <v>200</v>
      </c>
      <c r="P39" s="4">
        <v>0.61</v>
      </c>
      <c r="Q39" s="29">
        <f t="shared" si="1"/>
        <v>459.01639344262298</v>
      </c>
      <c r="R39" s="4">
        <v>8000</v>
      </c>
      <c r="S39" s="4">
        <v>0</v>
      </c>
      <c r="T39" s="4"/>
    </row>
    <row r="40" spans="1:20" ht="17.25" customHeight="1" x14ac:dyDescent="0.3">
      <c r="A40" s="9">
        <v>37</v>
      </c>
      <c r="B40" s="25" t="s">
        <v>100</v>
      </c>
      <c r="C40" s="25" t="s">
        <v>63</v>
      </c>
      <c r="D40" s="12" t="s">
        <v>64</v>
      </c>
      <c r="E40" s="18" t="s">
        <v>97</v>
      </c>
      <c r="F40" s="8" t="s">
        <v>37</v>
      </c>
      <c r="G40" s="8">
        <v>82</v>
      </c>
      <c r="H40" s="4">
        <v>240</v>
      </c>
      <c r="I40" s="4" t="s">
        <v>22</v>
      </c>
      <c r="J40" s="4">
        <v>500</v>
      </c>
      <c r="K40" s="4">
        <v>7.5</v>
      </c>
      <c r="L40" s="4">
        <v>11250</v>
      </c>
      <c r="M40" s="32"/>
      <c r="N40" s="4">
        <v>1.75</v>
      </c>
      <c r="O40" s="29">
        <f t="shared" si="0"/>
        <v>160</v>
      </c>
      <c r="P40" s="4">
        <v>0.5</v>
      </c>
      <c r="Q40" s="29">
        <f t="shared" si="1"/>
        <v>560</v>
      </c>
      <c r="R40" s="4">
        <v>10000</v>
      </c>
      <c r="S40" s="4">
        <v>0</v>
      </c>
      <c r="T40" s="4"/>
    </row>
    <row r="41" spans="1:20" ht="16.5" customHeight="1" x14ac:dyDescent="0.3">
      <c r="A41" s="9">
        <v>38</v>
      </c>
      <c r="B41" s="25" t="s">
        <v>101</v>
      </c>
      <c r="C41" s="25" t="s">
        <v>63</v>
      </c>
      <c r="D41" s="12" t="s">
        <v>64</v>
      </c>
      <c r="E41" s="18" t="s">
        <v>97</v>
      </c>
      <c r="F41" s="8" t="s">
        <v>37</v>
      </c>
      <c r="G41" s="8">
        <v>80</v>
      </c>
      <c r="H41" s="4">
        <v>240</v>
      </c>
      <c r="I41" s="4" t="s">
        <v>22</v>
      </c>
      <c r="J41" s="4">
        <v>500</v>
      </c>
      <c r="K41" s="4">
        <v>7.5</v>
      </c>
      <c r="L41" s="4"/>
      <c r="M41" s="32"/>
      <c r="N41" s="4">
        <v>1.75</v>
      </c>
      <c r="O41" s="29">
        <f t="shared" si="0"/>
        <v>160</v>
      </c>
      <c r="P41" s="4">
        <v>0.5</v>
      </c>
      <c r="Q41" s="29">
        <f t="shared" si="1"/>
        <v>560</v>
      </c>
      <c r="R41" s="4">
        <v>10000</v>
      </c>
      <c r="S41" s="4">
        <v>0</v>
      </c>
      <c r="T41" s="4"/>
    </row>
    <row r="42" spans="1:20" ht="17.25" customHeight="1" x14ac:dyDescent="0.3">
      <c r="A42" s="9">
        <v>39</v>
      </c>
      <c r="B42" s="25" t="s">
        <v>102</v>
      </c>
      <c r="C42" s="25" t="s">
        <v>111</v>
      </c>
      <c r="D42" s="12" t="s">
        <v>43</v>
      </c>
      <c r="E42" s="18" t="s">
        <v>97</v>
      </c>
      <c r="F42" s="8" t="s">
        <v>37</v>
      </c>
      <c r="G42" s="8">
        <v>280</v>
      </c>
      <c r="H42" s="4">
        <v>183</v>
      </c>
      <c r="I42" s="4" t="s">
        <v>22</v>
      </c>
      <c r="J42" s="4">
        <v>500</v>
      </c>
      <c r="K42" s="4">
        <v>7.5</v>
      </c>
      <c r="L42" s="4">
        <v>9900</v>
      </c>
      <c r="M42" s="32"/>
      <c r="N42" s="4">
        <v>1.88</v>
      </c>
      <c r="O42" s="29">
        <f t="shared" si="0"/>
        <v>148.93617021276597</v>
      </c>
      <c r="P42" s="4">
        <v>1.1499999999999999</v>
      </c>
      <c r="Q42" s="29">
        <f t="shared" si="1"/>
        <v>243.47826086956525</v>
      </c>
      <c r="R42" s="4">
        <v>0</v>
      </c>
      <c r="S42" s="4">
        <v>0</v>
      </c>
      <c r="T42" s="4"/>
    </row>
    <row r="43" spans="1:20" ht="15.6" x14ac:dyDescent="0.3">
      <c r="A43" s="7"/>
      <c r="B43" s="16"/>
      <c r="C43" s="16"/>
      <c r="D43" s="16"/>
      <c r="E43" s="16"/>
      <c r="F43" s="17" t="s">
        <v>103</v>
      </c>
      <c r="G43" s="17"/>
      <c r="H43" s="4"/>
      <c r="I43" s="4"/>
      <c r="J43" s="4"/>
      <c r="K43" s="4"/>
      <c r="L43" s="4"/>
      <c r="M43" s="5"/>
      <c r="N43" s="4"/>
      <c r="O43" s="4"/>
      <c r="P43" s="4"/>
      <c r="Q43" s="29"/>
      <c r="R43" s="4"/>
      <c r="S43" s="4">
        <v>0</v>
      </c>
      <c r="T43" s="4"/>
    </row>
  </sheetData>
  <mergeCells count="4">
    <mergeCell ref="M4:M13"/>
    <mergeCell ref="M14:M28"/>
    <mergeCell ref="M29:M32"/>
    <mergeCell ref="M38:M4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FILE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 Pal</dc:creator>
  <cp:lastModifiedBy>mahendra Pal</cp:lastModifiedBy>
  <dcterms:created xsi:type="dcterms:W3CDTF">2026-04-30T09:03:38Z</dcterms:created>
  <dcterms:modified xsi:type="dcterms:W3CDTF">2026-05-08T13:42:49Z</dcterms:modified>
</cp:coreProperties>
</file>